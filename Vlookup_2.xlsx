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B188F42F-A2DA-421B-A3A1-9E8D1681A67F}" xr6:coauthVersionLast="37" xr6:coauthVersionMax="37" xr10:uidLastSave="{00000000-0000-0000-0000-000000000000}"/>
  <bookViews>
    <workbookView xWindow="0" yWindow="0" windowWidth="7470" windowHeight="5865" firstSheet="2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heet1" sheetId="6" r:id="rId6"/>
  </sheets>
  <calcPr calcId="179021"/>
</workbook>
</file>

<file path=xl/calcChain.xml><?xml version="1.0" encoding="utf-8"?>
<calcChain xmlns="http://schemas.openxmlformats.org/spreadsheetml/2006/main">
  <c r="B14" i="6" l="1"/>
  <c r="B20" i="6"/>
  <c r="B19" i="6"/>
  <c r="B18" i="6"/>
  <c r="B17" i="6"/>
  <c r="B16" i="6"/>
  <c r="B15" i="6"/>
  <c r="B13" i="6"/>
  <c r="B12" i="6"/>
  <c r="B11" i="6"/>
  <c r="B10" i="6"/>
  <c r="B9" i="6"/>
  <c r="B8" i="6"/>
  <c r="B7" i="6"/>
  <c r="B6" i="6"/>
  <c r="B5" i="6"/>
  <c r="B4" i="6"/>
  <c r="B3" i="6"/>
  <c r="B2" i="6"/>
  <c r="B1" i="6"/>
</calcChain>
</file>

<file path=xl/sharedStrings.xml><?xml version="1.0" encoding="utf-8"?>
<sst xmlns="http://schemas.openxmlformats.org/spreadsheetml/2006/main" count="276" uniqueCount="81">
  <si>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</si>
  <si>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</si>
  <si>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</si>
  <si>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</si>
  <si>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</si>
  <si>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</si>
  <si>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</si>
  <si>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</si>
  <si>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</si>
  <si>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</si>
  <si>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</si>
  <si>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</si>
  <si>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</si>
  <si>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</si>
  <si>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</si>
  <si>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</si>
  <si>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</si>
  <si>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</si>
  <si>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</si>
  <si>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</si>
  <si>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</si>
  <si>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</si>
  <si>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</si>
  <si>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</si>
  <si>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</si>
  <si>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</si>
  <si>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</si>
  <si>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</si>
  <si>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</si>
  <si>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</si>
  <si>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</si>
  <si>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</si>
  <si>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</si>
  <si>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</si>
  <si>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</si>
  <si>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</si>
  <si>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</si>
  <si>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</si>
  <si>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</si>
  <si>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</si>
  <si>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</si>
  <si>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</si>
  <si>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</si>
  <si>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</si>
  <si>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</si>
  <si>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</si>
  <si>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</si>
  <si>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</si>
  <si>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</si>
  <si>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</si>
  <si>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</si>
  <si>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</si>
  <si>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</si>
  <si>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</si>
  <si>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</si>
  <si>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</si>
  <si>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</si>
  <si>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</si>
  <si>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</si>
  <si>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</si>
  <si>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</si>
  <si>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1. Find the Age of the student with ID = 10. </t>
  </si>
  <si>
    <t xml:space="preserve">2. Find the Marks of the student with ID = 25. </t>
  </si>
  <si>
    <t xml:space="preserve">3. Find the City of the student with ID = 40. </t>
  </si>
  <si>
    <t xml:space="preserve">4. Find the Name of the student with ID = 7. </t>
  </si>
  <si>
    <t xml:space="preserve">5. Find the Marks of the student named Rohit Sharma. </t>
  </si>
  <si>
    <t xml:space="preserve">6. Find the Age of the student named Anjali Gupta. </t>
  </si>
  <si>
    <t xml:space="preserve">7. Find the City of the student named Neha Singh. </t>
  </si>
  <si>
    <t xml:space="preserve">8. Using ID_Marks sheet, fetch the marks of ID = 18. </t>
  </si>
  <si>
    <t xml:space="preserve">9. Using ID_City sheet, find the city of ID = 12. </t>
  </si>
  <si>
    <t xml:space="preserve">10. From ID_Name sheet, find the student name with ID = 30. </t>
  </si>
  <si>
    <t xml:space="preserve">11. From Students sheet, return the city of ID = 5. </t>
  </si>
  <si>
    <t xml:space="preserve">12. Return the marks of student whose ID = 33. </t>
  </si>
  <si>
    <t xml:space="preserve">13. Find the Name of student whose ID = 49. </t>
  </si>
  <si>
    <t xml:space="preserve">14. Find the Marks of student who lives in Lucknow (first match). </t>
  </si>
  <si>
    <t xml:space="preserve">15. From Sample_20 sheet, fetch the Age of student with ID = 22. </t>
  </si>
  <si>
    <t xml:space="preserve">16. From Sample_20, find City of ID = 37. </t>
  </si>
  <si>
    <t xml:space="preserve">17. Find the Age of the student named Arjun Yadav. </t>
  </si>
  <si>
    <t xml:space="preserve">18. Return the City of the student named Pooja Verma. </t>
  </si>
  <si>
    <t xml:space="preserve">19. Using VLOOKUP, return Marks of ID = 15 from ID_Marks. </t>
  </si>
  <si>
    <t xml:space="preserve">20. Using VLOOKUP, return Name of ID = 28 from ID_Name.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</si>
</sst>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B48" sqref="B48"/>
    </sheetView>
  </sheetViews>
  <sheetFormatPr defaultRowHeight="15" x14ac:dyDescent="0.25"/>
  <cols>
    <col min="2" max="2" width="17.7109375" customWidth="1"/>
    <col min="5" max="5" width="16.42578125" customWidth="1"/>
    <col min="9" max="9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25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2"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A992-336C-47E7-9DEA-7684D4BEF6D6}">
  <dimension ref="A1:B20"/>
  <sheetViews>
    <sheetView tabSelected="1" workbookViewId="0">
      <selection activeCell="A23" sqref="A23"/>
    </sheetView>
  </sheetViews>
  <sheetFormatPr defaultRowHeight="15" x14ac:dyDescent="0.25"/>
  <cols>
    <col min="1" max="1" width="57.85546875" customWidth="1"/>
    <col min="2" max="2" width="17.140625" customWidth="1"/>
  </cols>
  <sheetData>
    <row r="1" spans="1:2" x14ac:dyDescent="0.25">
      <c r="A1" t="s">
        <v>61</v>
      </c>
      <c r="B1">
        <f>VLOOKUP(10,Students!A2:E51,3,FALSE)</f>
        <v>30</v>
      </c>
    </row>
    <row r="2" spans="1:2" x14ac:dyDescent="0.25">
      <c r="A2" t="s">
        <v>62</v>
      </c>
      <c r="B2">
        <f>VLOOKUP(25,Students!A2:E51,4,FALSE)</f>
        <v>54</v>
      </c>
    </row>
    <row r="3" spans="1:2" x14ac:dyDescent="0.25">
      <c r="A3" t="s">
        <v>63</v>
      </c>
      <c r="B3" t="str">
        <f>VLOOKUP(40,Students!A2:E51,5,FALSE)</f>
        <v>Agra</v>
      </c>
    </row>
    <row r="4" spans="1:2" x14ac:dyDescent="0.25">
      <c r="A4" t="s">
        <v>64</v>
      </c>
      <c r="B4" t="str">
        <f>VLOOKUP(7,Students!A2:E51,2,FALSE)</f>
        <v>Suresh Yadav</v>
      </c>
    </row>
    <row r="5" spans="1:2" x14ac:dyDescent="0.25">
      <c r="A5" t="s">
        <v>65</v>
      </c>
      <c r="B5">
        <f>VLOOKUP(Students!B48,Students!B2:E51,3,FALSE)</f>
        <v>52</v>
      </c>
    </row>
    <row r="6" spans="1:2" x14ac:dyDescent="0.25">
      <c r="A6" t="s">
        <v>66</v>
      </c>
      <c r="B6" t="e">
        <f>VLOOKUP("Anjali Gupta",Students!B2:E51,2,FALSE)</f>
        <v>#N/A</v>
      </c>
    </row>
    <row r="7" spans="1:2" x14ac:dyDescent="0.25">
      <c r="A7" t="s">
        <v>67</v>
      </c>
      <c r="B7" t="e">
        <f>VLOOKUP("Neha Singh",Students!B2:E51,5,FALSE)</f>
        <v>#N/A</v>
      </c>
    </row>
    <row r="8" spans="1:2" x14ac:dyDescent="0.25">
      <c r="A8" t="s">
        <v>68</v>
      </c>
      <c r="B8">
        <f>VLOOKUP(18,ID_Marks!A2:B51,2,FALSE)</f>
        <v>85</v>
      </c>
    </row>
    <row r="9" spans="1:2" x14ac:dyDescent="0.25">
      <c r="A9" t="s">
        <v>69</v>
      </c>
      <c r="B9" t="str">
        <f>VLOOKUP(12,ID_City!A2:B51,2,FALSE)</f>
        <v>Patna</v>
      </c>
    </row>
    <row r="10" spans="1:2" x14ac:dyDescent="0.25">
      <c r="A10" t="s">
        <v>70</v>
      </c>
      <c r="B10" t="str">
        <f>VLOOKUP(30,ID_Name!A2:C51,2,FALSE)</f>
        <v>Komal Sharma</v>
      </c>
    </row>
    <row r="11" spans="1:2" x14ac:dyDescent="0.25">
      <c r="A11" t="s">
        <v>71</v>
      </c>
      <c r="B11" t="str">
        <f>VLOOKUP(5,Students!A2:E51,5,FALSE)</f>
        <v>Lucknow</v>
      </c>
    </row>
    <row r="12" spans="1:2" x14ac:dyDescent="0.25">
      <c r="A12" t="s">
        <v>72</v>
      </c>
      <c r="B12">
        <f>VLOOKUP(33,Students!A2:E51,4,FALSE)</f>
        <v>82</v>
      </c>
    </row>
    <row r="13" spans="1:2" x14ac:dyDescent="0.25">
      <c r="A13" t="s">
        <v>73</v>
      </c>
      <c r="B13" t="str">
        <f>VLOOKUP(49,Students!A2:E51,2,FALSE)</f>
        <v>Vivaan Jha</v>
      </c>
    </row>
    <row r="14" spans="1:2" x14ac:dyDescent="0.25">
      <c r="A14" t="s">
        <v>74</v>
      </c>
      <c r="B14">
        <f>VLOOKUP("Lucknow",CHOOSE({1,2},Students!E2:E51,Students!D2:D51),2,FALSE)</f>
        <v>62</v>
      </c>
    </row>
    <row r="15" spans="1:2" x14ac:dyDescent="0.25">
      <c r="A15" t="s">
        <v>75</v>
      </c>
      <c r="B15">
        <f>VLOOKUP(22,Sample_20!A2:E21,3,FALSE)</f>
        <v>28</v>
      </c>
    </row>
    <row r="16" spans="1:2" x14ac:dyDescent="0.25">
      <c r="A16" t="s">
        <v>76</v>
      </c>
      <c r="B16" t="e">
        <f>VLOOKUP(37,Sample_20!A2:E21,5,FALSE)</f>
        <v>#N/A</v>
      </c>
    </row>
    <row r="17" spans="1:2" x14ac:dyDescent="0.25">
      <c r="A17" t="s">
        <v>77</v>
      </c>
      <c r="B17" t="e">
        <f>VLOOKUP("Arjun Yadav",Students!B2:E51,3,FALSE)</f>
        <v>#N/A</v>
      </c>
    </row>
    <row r="18" spans="1:2" x14ac:dyDescent="0.25">
      <c r="A18" t="s">
        <v>78</v>
      </c>
      <c r="B18" t="e">
        <f>VLOOKUP("Pooja Verma",Students!B2:E51,2,FALSE)</f>
        <v>#N/A</v>
      </c>
    </row>
    <row r="19" spans="1:2" x14ac:dyDescent="0.25">
      <c r="A19" t="s">
        <v>79</v>
      </c>
      <c r="B19">
        <f>VLOOKUP(15,ID_Marks!A2:B51,2,FALSE)</f>
        <v>51</v>
      </c>
    </row>
    <row r="20" spans="1:2" x14ac:dyDescent="0.25">
      <c r="A20" t="s">
        <v>80</v>
      </c>
      <c r="B20" t="str">
        <f>VLOOKUP(28,ID_Name!A2:C51,2,FALSE)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2025-09-29T08:00:59Z</dcterms:created>
  <dcterms:modified xsi:type="dcterms:W3CDTF">2026-05-18T08:30:39Z</dcterms:modified>
</cp:coreProperties>
</file>